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Semanal" sheetId="1" r:id="rId5"/>
    <sheet state="visible" name="Seg - Lower A" sheetId="2" r:id="rId6"/>
    <sheet state="visible" name="Ter - Upper A" sheetId="3" r:id="rId7"/>
    <sheet state="visible" name="Qui - Lower B" sheetId="4" r:id="rId8"/>
    <sheet state="visible" name="Sex - Upper B" sheetId="5" r:id="rId9"/>
    <sheet state="visible" name="Cardio" sheetId="6" r:id="rId10"/>
    <sheet state="visible" name="Registro Semanal" sheetId="7" r:id="rId11"/>
    <sheet state="visible" name="Nutrição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Estimativa: 220 - idade. Substitua pelo valor real do teste de limiar do Garmin se tiver feito.</t>
      </text>
    </comment>
    <comment authorId="0" ref="B6">
      <text>
        <t xml:space="preserve">O Garmin Connect mede FC de repouso automaticamente. Veja na seção Saúde → Frequência cardíaca.</t>
      </text>
    </comment>
  </commentList>
</comments>
</file>

<file path=xl/sharedStrings.xml><?xml version="1.0" encoding="utf-8"?>
<sst xmlns="http://schemas.openxmlformats.org/spreadsheetml/2006/main" count="355" uniqueCount="224">
  <si>
    <t>PLANO SEMANAL — Treino + Cardio (Foco: perda de gordura preservando massa magra)</t>
  </si>
  <si>
    <t>Dia</t>
  </si>
  <si>
    <t>Tipo</t>
  </si>
  <si>
    <t>Sessão</t>
  </si>
  <si>
    <t>Duração</t>
  </si>
  <si>
    <t>Observações</t>
  </si>
  <si>
    <t>Segunda</t>
  </si>
  <si>
    <t>Força</t>
  </si>
  <si>
    <t>Lower A — foco quadríceps</t>
  </si>
  <si>
    <t>~60 min</t>
  </si>
  <si>
    <t>Treino mais pesado da semana, faça descansado</t>
  </si>
  <si>
    <t>Terça</t>
  </si>
  <si>
    <t>Upper A — foco peito/ombro</t>
  </si>
  <si>
    <t>Foco em supino e desenvolvimento</t>
  </si>
  <si>
    <t>Quarta</t>
  </si>
  <si>
    <t>Cardio</t>
  </si>
  <si>
    <t>Bike — Zona 2</t>
  </si>
  <si>
    <t>45-50 min</t>
  </si>
  <si>
    <t>Recuperação ativa entre Lower A e Lower B</t>
  </si>
  <si>
    <t>Quinta</t>
  </si>
  <si>
    <t>Lower B — foco posterior/glúteo</t>
  </si>
  <si>
    <t>Stiff/RDL como exercício principal</t>
  </si>
  <si>
    <t>Sexta</t>
  </si>
  <si>
    <t>Upper B — foco costas</t>
  </si>
  <si>
    <t>Puxadas e remadas pesadas</t>
  </si>
  <si>
    <t>Sábado</t>
  </si>
  <si>
    <t>Caminhada inclinada + Bike</t>
  </si>
  <si>
    <t>70-80 min</t>
  </si>
  <si>
    <t>Pode dividir em 2 sessões no dia</t>
  </si>
  <si>
    <t>Domingo</t>
  </si>
  <si>
    <t>Caminhada inclinada (ou bike)</t>
  </si>
  <si>
    <t>40-45 min</t>
  </si>
  <si>
    <t>Sessão mais leve antes da segunda</t>
  </si>
  <si>
    <t>DIRETRIZES GERAIS</t>
  </si>
  <si>
    <t>• RIR 1-2 (Reps in Reserve): pare 1-2 reps antes da falha total na maioria das séries.</t>
  </si>
  <si>
    <t>• Descanso: 2-3 min nos compostos pesados, 60-90s nos isolados.</t>
  </si>
  <si>
    <t>• Progressão: anote cargas. Bateu as reps prescritas com RIR 1-2? Sobe carga semana seguinte.</t>
  </si>
  <si>
    <t>• Aquecimento: 5 min mobilidade + 2-3 séries leves no primeiro composto.</t>
  </si>
  <si>
    <t>• Proteína-alvo: 1.6-2.2g por kg de peso-alvo (não peso atual). Crítico no uso de Mon­jaro.</t>
  </si>
  <si>
    <t>• Creatina: 5g/dia, qualquer horário, todos os dias.</t>
  </si>
  <si>
    <t>• Sinais de alerta: perda de força semanal, tontura, recuperação muito ruim → conversar com médico.</t>
  </si>
  <si>
    <t>• Cardio depois do treino de força (se mesmo dia), nunca antes.</t>
  </si>
  <si>
    <t>SEGUNDA — LOWER A (foco quadríceps + core)</t>
  </si>
  <si>
    <t>Exercício</t>
  </si>
  <si>
    <t>Séries</t>
  </si>
  <si>
    <t>Reps</t>
  </si>
  <si>
    <t>Descanso</t>
  </si>
  <si>
    <t>Carga S1</t>
  </si>
  <si>
    <t>Carga S2</t>
  </si>
  <si>
    <t>Carga S3</t>
  </si>
  <si>
    <t>Carga S4</t>
  </si>
  <si>
    <t>Notas / RIR</t>
  </si>
  <si>
    <t>Agachamento livre (ou Hack machine)</t>
  </si>
  <si>
    <t>4</t>
  </si>
  <si>
    <t>6-8</t>
  </si>
  <si>
    <t>2-3 min</t>
  </si>
  <si>
    <t>Composto principal, RIR 1-2. Aquecer bem.</t>
  </si>
  <si>
    <t>Leg press 45°</t>
  </si>
  <si>
    <t>3</t>
  </si>
  <si>
    <t>10-12</t>
  </si>
  <si>
    <t>2 min</t>
  </si>
  <si>
    <t>Pés na metade-baixa da plataforma para mais quadríceps.</t>
  </si>
  <si>
    <t>Cadeira extensora</t>
  </si>
  <si>
    <t>12-15</t>
  </si>
  <si>
    <t>60-90s</t>
  </si>
  <si>
    <t>Pode ir até falha na última série.</t>
  </si>
  <si>
    <t>Stiff (com halteres ou barra)</t>
  </si>
  <si>
    <t>8-10</t>
  </si>
  <si>
    <t>Foco em alongar isquios, joelhos levemente flexionados.</t>
  </si>
  <si>
    <t>Panturrilha em pé (smith ou máquina)</t>
  </si>
  <si>
    <t>Pausa de 1s no alongamento total.</t>
  </si>
  <si>
    <t>Prancha frontal (isometria)</t>
  </si>
  <si>
    <t>40-60s</t>
  </si>
  <si>
    <t>60s</t>
  </si>
  <si>
    <t>CORE — manter linha reta, glúteo contraído.</t>
  </si>
  <si>
    <t>Abdominal infra (perna estendida)</t>
  </si>
  <si>
    <t>CORE — não jogar a lombar contra o chão com força.</t>
  </si>
  <si>
    <t>LEGENDA E DICAS</t>
  </si>
  <si>
    <t>• S1 = Semana 1, S2 = Semana 2, S3 = Semana 3, S4 = Semana 4 — anote a carga principal usada.</t>
  </si>
  <si>
    <t>• Para exercícios bilaterais, anote o peso total (ex: barra). Para halteres, anote o peso de UM halter.</t>
  </si>
  <si>
    <t>• Ciclo de 4 semanas: progredir carga em 2-3 das 4 semanas. Última semana pode ser deload (volume menor).</t>
  </si>
  <si>
    <t>• Se não bater as reps prescritas em 2 semanas seguidas, mantém a carga — não force progressão.</t>
  </si>
  <si>
    <t>• Exercícios em amarelo claro = core/abdominal.</t>
  </si>
  <si>
    <t>TERÇA — UPPER A (foco peito/ombro + core)</t>
  </si>
  <si>
    <t>Supino reto (barra ou halter)</t>
  </si>
  <si>
    <t>Composto principal. Halteres = mais ROM, menos lesão de ombro.</t>
  </si>
  <si>
    <t>Desenvolvimento halter sentado</t>
  </si>
  <si>
    <t>Banco com encosto a 80-85°. Cuidar do ombro.</t>
  </si>
  <si>
    <t>Supino inclinado halter (30-45°)</t>
  </si>
  <si>
    <t>90s</t>
  </si>
  <si>
    <t>Foco no peitoral superior.</t>
  </si>
  <si>
    <t>Remada cavalinho (ou remada baixa)</t>
  </si>
  <si>
    <t>Antagonista, mantém saúde do ombro.</t>
  </si>
  <si>
    <t>Elevação lateral halter</t>
  </si>
  <si>
    <t>Cotovelo levemente flexionado, sobe até a altura do ombro.</t>
  </si>
  <si>
    <t>Tríceps na corda (ou francês halter)</t>
  </si>
  <si>
    <t>Estender totalmente o cotovelo no final.</t>
  </si>
  <si>
    <t>Prancha lateral (cada lado)</t>
  </si>
  <si>
    <t>30-45s</t>
  </si>
  <si>
    <t>CORE — foco em oblíquos. 1 série por lado.</t>
  </si>
  <si>
    <t>QUINTA — LOWER B (foco posterior/glúteo + core)</t>
  </si>
  <si>
    <t>Levantamento terra romeno (RDL)</t>
  </si>
  <si>
    <t>Composto principal. Foco em alongar isquios. Coluna neutra.</t>
  </si>
  <si>
    <t>Búlgaro (ou afundo) com halteres</t>
  </si>
  <si>
    <t>8-10 cada perna</t>
  </si>
  <si>
    <t>Joelho da frente alinhado com o pé.</t>
  </si>
  <si>
    <t>Mesa flexora</t>
  </si>
  <si>
    <t>Controle excêntrico (descida de 2-3 segundos).</t>
  </si>
  <si>
    <t>Elevação pélvica / Hip thrust</t>
  </si>
  <si>
    <t>Pausa de 1s no topo. Glúteo bem contraído.</t>
  </si>
  <si>
    <t>Panturrilha sentado</t>
  </si>
  <si>
    <t>Complementa a panturrilha em pé de segunda.</t>
  </si>
  <si>
    <t>Abdominal supra (no solo ou máquina)</t>
  </si>
  <si>
    <t>CORE — encurtar a distância costela-quadril.</t>
  </si>
  <si>
    <t>Dead bug (cada lado)</t>
  </si>
  <si>
    <t>10 cada lado</t>
  </si>
  <si>
    <t>45s</t>
  </si>
  <si>
    <t>CORE — anti-extensão lombar. Lombar colada no chão.</t>
  </si>
  <si>
    <t>SEXTA — UPPER B (foco costas/braços + core)</t>
  </si>
  <si>
    <t>Barra fixa (ou puxada pronada)</t>
  </si>
  <si>
    <t>6-10</t>
  </si>
  <si>
    <t>Se não consegue na barra, usar puxada com pegada pronada.</t>
  </si>
  <si>
    <t>Remada curvada barra (ou Pendlay)</t>
  </si>
  <si>
    <t>Tronco a 45°, puxar barra até o abdômen.</t>
  </si>
  <si>
    <t>Remada unilateral halter (serrote)</t>
  </si>
  <si>
    <t>Cotovelo próximo ao corpo. Apertar escápula.</t>
  </si>
  <si>
    <t>Supino fechado (ou paralelas)</t>
  </si>
  <si>
    <t>Tríceps composto. Cotovelos junto ao corpo.</t>
  </si>
  <si>
    <t>Rosca direta (barra W ou reta)</t>
  </si>
  <si>
    <t>Cotovelos fixos ao lado do tronco.</t>
  </si>
  <si>
    <t>Rosca martelo halter</t>
  </si>
  <si>
    <t>Foco em braquial e antebraço.</t>
  </si>
  <si>
    <t>Rotação russa (russian twist) com peso</t>
  </si>
  <si>
    <t>12-15 cada lado</t>
  </si>
  <si>
    <t>CORE — oblíquos. Use anilha ou medicine ball.</t>
  </si>
  <si>
    <t>Hollow body hold</t>
  </si>
  <si>
    <t>20-30s</t>
  </si>
  <si>
    <t>CORE — anti-extensão. Lombar colada no chão.</t>
  </si>
  <si>
    <t>CARDIO — Zona 2 (Quarta, Sábado, Domingo)</t>
  </si>
  <si>
    <t>FAIXA-ALVO DE FREQUÊNCIA CARDÍACA (Método Karvonen — Frequência Cardíaca de Reserva)</t>
  </si>
  <si>
    <t>FC Máxima estimada (bpm)</t>
  </si>
  <si>
    <t>FC Repouso (bpm) — pegar do Garmin</t>
  </si>
  <si>
    <t>FC Reserva (FCmáx − FCrep)</t>
  </si>
  <si>
    <t>Zona 2 — Limite Inferior (60% reserva)</t>
  </si>
  <si>
    <t>Zona 2 — Limite Superior (70% reserva)</t>
  </si>
  <si>
    <t>SESSÕES SEMANAIS</t>
  </si>
  <si>
    <t>Modalidade</t>
  </si>
  <si>
    <t>Intensidade</t>
  </si>
  <si>
    <t>FC alvo (bpm)</t>
  </si>
  <si>
    <t>Notas</t>
  </si>
  <si>
    <t>Marcar feito</t>
  </si>
  <si>
    <t>Bike (ergométrica ou estrada)</t>
  </si>
  <si>
    <t>Zona 2</t>
  </si>
  <si>
    <t>Resistência moderada, cadência 80-90 rpm. Conversa em frases completas.</t>
  </si>
  <si>
    <t>Sábado A</t>
  </si>
  <si>
    <t>Caminhada inclinada (esteira)</t>
  </si>
  <si>
    <t>40 min</t>
  </si>
  <si>
    <t>Inclinação 8-12%, velocidade 5-6 km/h. Sem segurar nas barras.</t>
  </si>
  <si>
    <t>Sábado B</t>
  </si>
  <si>
    <t>Bike (leve)</t>
  </si>
  <si>
    <t>30 min</t>
  </si>
  <si>
    <t>Pode ser na sequência ou separado. Alternativa: pular se cansaço alto.</t>
  </si>
  <si>
    <t>Caminhada inclinada ou Bike</t>
  </si>
  <si>
    <t>Sessão mais leve. Pode trocar por bike se preferir.</t>
  </si>
  <si>
    <t>OBSERVAÇÕES IMPORTANTES</t>
  </si>
  <si>
    <t>• Caminhada plana raramente atinge Zona 2 — use inclinação ou bike.</t>
  </si>
  <si>
    <t>• Talk test: deve conseguir falar frases completas. Se está ofegante, baixou demais a intensidade ou subiu demais a FC.</t>
  </si>
  <si>
    <t>• No Garmin Connect: Dispositivo → Forerunner 255 → Configurações do usuário → Zonas de FC → mudar para % Reserva FC.</t>
  </si>
  <si>
    <t>• Faça o teste de Limiar de Lactato guiado do Garmin (~20 min) para calibrar zonas reais.</t>
  </si>
  <si>
    <t>• Cardio em jejum NÃO é superior. Faça quando for prático.</t>
  </si>
  <si>
    <t>• Se sentir pernas pesadas no Lower B (quinta), reduza a bike de quarta para 30 min.</t>
  </si>
  <si>
    <t>• HIIT não está incluído de propósito — o custo de recuperação não compensa em déficit + GLP-1.</t>
  </si>
  <si>
    <t>REGISTRO SEMANAL — Acompanhamento de progresso</t>
  </si>
  <si>
    <t>Semana</t>
  </si>
  <si>
    <t>Peso (kg)</t>
  </si>
  <si>
    <t>Cintura (cm)</t>
  </si>
  <si>
    <t>Treinos feitos (/4)</t>
  </si>
  <si>
    <t>Cardios feitos (/3-4)</t>
  </si>
  <si>
    <t>Proteína média (g/dia)</t>
  </si>
  <si>
    <t>Sono médio (h)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</si>
  <si>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</si>
  <si>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</si>
  <si>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</si>
  <si>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</si>
  <si>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</si>
  <si>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</si>
  <si>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</si>
  <si>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</si>
  <si>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</si>
  <si>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</si>
  <si>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</si>
  <si>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</si>
  <si>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COMO USAR</t>
  </si>
  <si>
    <t>• Peso: medir 1x por semana, mesmo dia, mesma hora (ideal: domingo de manhã, em jejum).</t>
  </si>
  <si>
    <t>• Cintura: medida na altura do umbigo, sem segurar a respiração. Mais confiável que o peso isolado.</t>
  </si>
  <si>
    <t>• Proteína: tente acertar 1.6-2.2g/kg de peso-alvo. Apps como MyFitnessPal ou FatSecret ajudam.</t>
  </si>
  <si>
    <t>• Sono: meta 7-8h. Sono ruim sabota recuperação e progressão tanto quanto déficit excessivo.</t>
  </si>
  <si>
    <t>• Use a coluna de observações para anotar: como se sentiu nos treinos, fome, energia, efeitos do Mon­jaro.</t>
  </si>
  <si>
    <t>NUTRIÇÃO — Pontos críticos no uso de Mon­jaro</t>
  </si>
  <si>
    <t>CALCULADORA DE PROTEÍNA</t>
  </si>
  <si>
    <t>Peso atual (kg)</t>
  </si>
  <si>
    <t>Peso-alvo (kg)</t>
  </si>
  <si>
    <t>Proteína mínima (1.6 g/kg alvo)</t>
  </si>
  <si>
    <t>Proteína ideal (2.0 g/kg alvo)</t>
  </si>
  <si>
    <t>Proteína máxima (2.2 g/kg alvo)</t>
  </si>
  <si>
    <t>PONTOS DE ATENÇÃO (Mon­jaro / GLP-1)</t>
  </si>
  <si>
    <t>Tópico</t>
  </si>
  <si>
    <t>Recomendação</t>
  </si>
  <si>
    <t>Risco principal</t>
  </si>
  <si>
    <t>Perda de massa magra desproporcional. Estudos mostram 25-40% da perda total pode ser massa magra sem treino + proteína adequada.</t>
  </si>
  <si>
    <t>Proteína</t>
  </si>
  <si>
    <t>Crítica. Comece pelas refeições com proteína primeiro, depois carbo/gordura. Apetite reduzido = fácil ficar com déficit proteico.</t>
  </si>
  <si>
    <t>Calorias</t>
  </si>
  <si>
    <t>Não force déficit grande. Mon­jaro já reduz fome — déficit muito agressivo sabota músculo e energia de treino.</t>
  </si>
  <si>
    <t>Creatina</t>
  </si>
  <si>
    <t>5g/dia, sempre. Ajuda a preservar massa magra e força em déficit.</t>
  </si>
  <si>
    <t>Eletrólitos</t>
  </si>
  <si>
    <t>Sódio, potássio, magnésio. Mon­jaro pode causar enjoo, perdas digestivas. Cãibras são sinal de baixo.</t>
  </si>
  <si>
    <t>Sintomas alerta</t>
  </si>
  <si>
    <t>Fadiga extrema, queda de força semanal, tontura, ânsia constante → conversar com médico, possível ajuste de dose.</t>
  </si>
  <si>
    <t>Hidratação</t>
  </si>
  <si>
    <t>3-4L de água/dia. Apetite reduzido inclui sede reduzida — desidratação sabota treino.</t>
  </si>
  <si>
    <t>Refeições</t>
  </si>
  <si>
    <t>3-4 refeições/dia, não 5-6. Apetite baixo torna refeições pequenas frequentes ineficazes para bater proteína.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</si>
</sst>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i/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4A6FA5"/>
        <bgColor rgb="FF4A6FA5"/>
      </patternFill>
    </fill>
    <fill>
      <patternFill patternType="solid">
        <fgColor rgb="FFFFE5CC"/>
        <bgColor rgb="FFFFE5CC"/>
      </patternFill>
    </fill>
    <fill>
      <patternFill patternType="solid">
        <fgColor rgb="FFD6E4F0"/>
        <bgColor rgb="FFD6E4F0"/>
      </patternFill>
    </fill>
    <fill>
      <patternFill patternType="solid">
        <fgColor rgb="FFD5E8D4"/>
        <bgColor rgb="FFD5E8D4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right/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9" fontId="4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38.0"/>
    <col customWidth="1" min="4" max="4" width="12.0"/>
    <col customWidth="1" min="5" max="5" width="50.0"/>
    <col customWidth="1" min="6" max="26" width="8.71"/>
  </cols>
  <sheetData>
    <row r="1" ht="30.0" customHeight="1">
      <c r="A1" s="1" t="s">
        <v>0</v>
      </c>
      <c r="B1" s="2"/>
      <c r="C1" s="2"/>
      <c r="D1" s="2"/>
      <c r="E1" s="3"/>
    </row>
    <row r="3" ht="24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ht="27.75" customHeight="1">
      <c r="A4" s="5" t="s">
        <v>6</v>
      </c>
      <c r="B4" s="5" t="s">
        <v>7</v>
      </c>
      <c r="C4" s="6" t="s">
        <v>8</v>
      </c>
      <c r="D4" s="6" t="s">
        <v>9</v>
      </c>
      <c r="E4" s="6" t="s">
        <v>10</v>
      </c>
    </row>
    <row r="5" ht="27.75" customHeight="1">
      <c r="A5" s="7" t="s">
        <v>11</v>
      </c>
      <c r="B5" s="7" t="s">
        <v>7</v>
      </c>
      <c r="C5" s="8" t="s">
        <v>12</v>
      </c>
      <c r="D5" s="8" t="s">
        <v>9</v>
      </c>
      <c r="E5" s="8" t="s">
        <v>13</v>
      </c>
    </row>
    <row r="6" ht="27.75" customHeight="1">
      <c r="A6" s="9" t="s">
        <v>14</v>
      </c>
      <c r="B6" s="9" t="s">
        <v>15</v>
      </c>
      <c r="C6" s="10" t="s">
        <v>16</v>
      </c>
      <c r="D6" s="10" t="s">
        <v>17</v>
      </c>
      <c r="E6" s="10" t="s">
        <v>18</v>
      </c>
    </row>
    <row r="7" ht="27.75" customHeight="1">
      <c r="A7" s="5" t="s">
        <v>19</v>
      </c>
      <c r="B7" s="5" t="s">
        <v>7</v>
      </c>
      <c r="C7" s="6" t="s">
        <v>20</v>
      </c>
      <c r="D7" s="6" t="s">
        <v>9</v>
      </c>
      <c r="E7" s="6" t="s">
        <v>21</v>
      </c>
    </row>
    <row r="8" ht="27.75" customHeight="1">
      <c r="A8" s="7" t="s">
        <v>22</v>
      </c>
      <c r="B8" s="7" t="s">
        <v>7</v>
      </c>
      <c r="C8" s="8" t="s">
        <v>23</v>
      </c>
      <c r="D8" s="8" t="s">
        <v>9</v>
      </c>
      <c r="E8" s="8" t="s">
        <v>24</v>
      </c>
    </row>
    <row r="9" ht="27.75" customHeight="1">
      <c r="A9" s="9" t="s">
        <v>25</v>
      </c>
      <c r="B9" s="9" t="s">
        <v>15</v>
      </c>
      <c r="C9" s="10" t="s">
        <v>26</v>
      </c>
      <c r="D9" s="10" t="s">
        <v>27</v>
      </c>
      <c r="E9" s="10" t="s">
        <v>28</v>
      </c>
    </row>
    <row r="10" ht="27.75" customHeight="1">
      <c r="A10" s="9" t="s">
        <v>29</v>
      </c>
      <c r="B10" s="9" t="s">
        <v>15</v>
      </c>
      <c r="C10" s="10" t="s">
        <v>30</v>
      </c>
      <c r="D10" s="10" t="s">
        <v>31</v>
      </c>
      <c r="E10" s="10" t="s">
        <v>32</v>
      </c>
    </row>
    <row r="12" ht="24.75" customHeight="1">
      <c r="A12" s="11" t="s">
        <v>33</v>
      </c>
      <c r="B12" s="2"/>
      <c r="C12" s="2"/>
      <c r="D12" s="2"/>
      <c r="E12" s="3"/>
    </row>
    <row r="13" ht="21.75" customHeight="1">
      <c r="A13" s="12" t="s">
        <v>34</v>
      </c>
      <c r="B13" s="2"/>
      <c r="C13" s="2"/>
      <c r="D13" s="2"/>
      <c r="E13" s="3"/>
    </row>
    <row r="14" ht="21.75" customHeight="1">
      <c r="A14" s="12" t="s">
        <v>35</v>
      </c>
      <c r="B14" s="2"/>
      <c r="C14" s="2"/>
      <c r="D14" s="2"/>
      <c r="E14" s="3"/>
    </row>
    <row r="15" ht="21.75" customHeight="1">
      <c r="A15" s="12" t="s">
        <v>36</v>
      </c>
      <c r="B15" s="2"/>
      <c r="C15" s="2"/>
      <c r="D15" s="2"/>
      <c r="E15" s="3"/>
    </row>
    <row r="16" ht="21.75" customHeight="1">
      <c r="A16" s="12" t="s">
        <v>37</v>
      </c>
      <c r="B16" s="2"/>
      <c r="C16" s="2"/>
      <c r="D16" s="2"/>
      <c r="E16" s="3"/>
    </row>
    <row r="17" ht="21.75" customHeight="1">
      <c r="A17" s="12" t="s">
        <v>38</v>
      </c>
      <c r="B17" s="2"/>
      <c r="C17" s="2"/>
      <c r="D17" s="2"/>
      <c r="E17" s="3"/>
    </row>
    <row r="18" ht="21.75" customHeight="1">
      <c r="A18" s="12" t="s">
        <v>39</v>
      </c>
      <c r="B18" s="2"/>
      <c r="C18" s="2"/>
      <c r="D18" s="2"/>
      <c r="E18" s="3"/>
    </row>
    <row r="19" ht="21.75" customHeight="1">
      <c r="A19" s="12" t="s">
        <v>40</v>
      </c>
      <c r="B19" s="2"/>
      <c r="C19" s="2"/>
      <c r="D19" s="2"/>
      <c r="E19" s="3"/>
    </row>
    <row r="20" ht="21.75" customHeight="1">
      <c r="A20" s="12" t="s">
        <v>41</v>
      </c>
      <c r="B20" s="2"/>
      <c r="C20" s="2"/>
      <c r="D20" s="2"/>
      <c r="E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8:E18"/>
    <mergeCell ref="A19:E19"/>
    <mergeCell ref="A20:E20"/>
    <mergeCell ref="A1:E1"/>
    <mergeCell ref="A12:E12"/>
    <mergeCell ref="A13:E13"/>
    <mergeCell ref="A14:E14"/>
    <mergeCell ref="A15:E15"/>
    <mergeCell ref="A16:E16"/>
    <mergeCell ref="A17:E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.0"/>
    <col customWidth="1" min="3" max="8" width="11.0"/>
    <col customWidth="1" min="9" max="9" width="35.0"/>
    <col customWidth="1" min="10" max="26" width="8.71"/>
  </cols>
  <sheetData>
    <row r="1" ht="30.0" customHeight="1">
      <c r="A1" s="1" t="s">
        <v>42</v>
      </c>
      <c r="B1" s="2"/>
      <c r="C1" s="2"/>
      <c r="D1" s="2"/>
      <c r="E1" s="2"/>
      <c r="F1" s="2"/>
      <c r="G1" s="2"/>
      <c r="H1" s="2"/>
      <c r="I1" s="3"/>
    </row>
    <row r="3" ht="30.0" customHeight="1">
      <c r="A3" s="13" t="s">
        <v>43</v>
      </c>
      <c r="B3" s="13" t="s">
        <v>44</v>
      </c>
      <c r="C3" s="13" t="s">
        <v>45</v>
      </c>
      <c r="D3" s="13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3" t="s">
        <v>51</v>
      </c>
    </row>
    <row r="4" ht="31.5" customHeight="1">
      <c r="A4" s="5" t="s">
        <v>52</v>
      </c>
      <c r="B4" s="14" t="s">
        <v>53</v>
      </c>
      <c r="C4" s="14" t="s">
        <v>54</v>
      </c>
      <c r="D4" s="14" t="s">
        <v>55</v>
      </c>
      <c r="E4" s="15"/>
      <c r="F4" s="15"/>
      <c r="G4" s="15"/>
      <c r="H4" s="15"/>
      <c r="I4" s="16" t="s">
        <v>56</v>
      </c>
    </row>
    <row r="5" ht="31.5" customHeight="1">
      <c r="A5" s="5" t="s">
        <v>57</v>
      </c>
      <c r="B5" s="14" t="s">
        <v>58</v>
      </c>
      <c r="C5" s="14" t="s">
        <v>59</v>
      </c>
      <c r="D5" s="14" t="s">
        <v>60</v>
      </c>
      <c r="E5" s="15"/>
      <c r="F5" s="15"/>
      <c r="G5" s="15"/>
      <c r="H5" s="15"/>
      <c r="I5" s="16" t="s">
        <v>61</v>
      </c>
    </row>
    <row r="6" ht="31.5" customHeight="1">
      <c r="A6" s="5" t="s">
        <v>62</v>
      </c>
      <c r="B6" s="14" t="s">
        <v>58</v>
      </c>
      <c r="C6" s="14" t="s">
        <v>63</v>
      </c>
      <c r="D6" s="14" t="s">
        <v>64</v>
      </c>
      <c r="E6" s="15"/>
      <c r="F6" s="15"/>
      <c r="G6" s="15"/>
      <c r="H6" s="15"/>
      <c r="I6" s="16" t="s">
        <v>65</v>
      </c>
    </row>
    <row r="7" ht="31.5" customHeight="1">
      <c r="A7" s="5" t="s">
        <v>66</v>
      </c>
      <c r="B7" s="14" t="s">
        <v>58</v>
      </c>
      <c r="C7" s="14" t="s">
        <v>67</v>
      </c>
      <c r="D7" s="14" t="s">
        <v>60</v>
      </c>
      <c r="E7" s="15"/>
      <c r="F7" s="15"/>
      <c r="G7" s="15"/>
      <c r="H7" s="15"/>
      <c r="I7" s="16" t="s">
        <v>68</v>
      </c>
    </row>
    <row r="8" ht="31.5" customHeight="1">
      <c r="A8" s="5" t="s">
        <v>69</v>
      </c>
      <c r="B8" s="14" t="s">
        <v>53</v>
      </c>
      <c r="C8" s="14" t="s">
        <v>59</v>
      </c>
      <c r="D8" s="14" t="s">
        <v>64</v>
      </c>
      <c r="E8" s="15"/>
      <c r="F8" s="15"/>
      <c r="G8" s="15"/>
      <c r="H8" s="15"/>
      <c r="I8" s="16" t="s">
        <v>70</v>
      </c>
    </row>
    <row r="9" ht="31.5" customHeight="1">
      <c r="A9" s="17" t="s">
        <v>71</v>
      </c>
      <c r="B9" s="18" t="s">
        <v>58</v>
      </c>
      <c r="C9" s="18" t="s">
        <v>72</v>
      </c>
      <c r="D9" s="18" t="s">
        <v>73</v>
      </c>
      <c r="E9" s="15"/>
      <c r="F9" s="15"/>
      <c r="G9" s="15"/>
      <c r="H9" s="15"/>
      <c r="I9" s="19" t="s">
        <v>74</v>
      </c>
    </row>
    <row r="10" ht="31.5" customHeight="1">
      <c r="A10" s="17" t="s">
        <v>75</v>
      </c>
      <c r="B10" s="18" t="s">
        <v>58</v>
      </c>
      <c r="C10" s="18" t="s">
        <v>63</v>
      </c>
      <c r="D10" s="18" t="s">
        <v>73</v>
      </c>
      <c r="E10" s="15"/>
      <c r="F10" s="15"/>
      <c r="G10" s="15"/>
      <c r="H10" s="15"/>
      <c r="I10" s="19" t="s">
        <v>76</v>
      </c>
    </row>
    <row r="12" ht="24.75" customHeight="1">
      <c r="A12" s="11" t="s">
        <v>77</v>
      </c>
      <c r="B12" s="2"/>
      <c r="C12" s="2"/>
      <c r="D12" s="2"/>
      <c r="E12" s="2"/>
      <c r="F12" s="2"/>
      <c r="G12" s="2"/>
      <c r="H12" s="2"/>
      <c r="I12" s="3"/>
    </row>
    <row r="13" ht="19.5" customHeight="1">
      <c r="A13" s="12" t="s">
        <v>78</v>
      </c>
      <c r="B13" s="2"/>
      <c r="C13" s="2"/>
      <c r="D13" s="2"/>
      <c r="E13" s="2"/>
      <c r="F13" s="2"/>
      <c r="G13" s="2"/>
      <c r="H13" s="2"/>
      <c r="I13" s="3"/>
    </row>
    <row r="14" ht="19.5" customHeight="1">
      <c r="A14" s="12" t="s">
        <v>79</v>
      </c>
      <c r="B14" s="2"/>
      <c r="C14" s="2"/>
      <c r="D14" s="2"/>
      <c r="E14" s="2"/>
      <c r="F14" s="2"/>
      <c r="G14" s="2"/>
      <c r="H14" s="2"/>
      <c r="I14" s="3"/>
    </row>
    <row r="15" ht="19.5" customHeight="1">
      <c r="A15" s="12" t="s">
        <v>80</v>
      </c>
      <c r="B15" s="2"/>
      <c r="C15" s="2"/>
      <c r="D15" s="2"/>
      <c r="E15" s="2"/>
      <c r="F15" s="2"/>
      <c r="G15" s="2"/>
      <c r="H15" s="2"/>
      <c r="I15" s="3"/>
    </row>
    <row r="16" ht="19.5" customHeight="1">
      <c r="A16" s="12" t="s">
        <v>81</v>
      </c>
      <c r="B16" s="2"/>
      <c r="C16" s="2"/>
      <c r="D16" s="2"/>
      <c r="E16" s="2"/>
      <c r="F16" s="2"/>
      <c r="G16" s="2"/>
      <c r="H16" s="2"/>
      <c r="I16" s="3"/>
    </row>
    <row r="17" ht="19.5" customHeight="1">
      <c r="A17" s="12" t="s">
        <v>82</v>
      </c>
      <c r="B17" s="2"/>
      <c r="C17" s="2"/>
      <c r="D17" s="2"/>
      <c r="E17" s="2"/>
      <c r="F17" s="2"/>
      <c r="G17" s="2"/>
      <c r="H17" s="2"/>
      <c r="I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12:I12"/>
    <mergeCell ref="A13:I13"/>
    <mergeCell ref="A14:I14"/>
    <mergeCell ref="A15:I15"/>
    <mergeCell ref="A16:I16"/>
    <mergeCell ref="A17:I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.0"/>
    <col customWidth="1" min="3" max="8" width="11.0"/>
    <col customWidth="1" min="9" max="9" width="35.0"/>
    <col customWidth="1" min="10" max="26" width="8.71"/>
  </cols>
  <sheetData>
    <row r="1" ht="30.0" customHeight="1">
      <c r="A1" s="1" t="s">
        <v>83</v>
      </c>
      <c r="B1" s="2"/>
      <c r="C1" s="2"/>
      <c r="D1" s="2"/>
      <c r="E1" s="2"/>
      <c r="F1" s="2"/>
      <c r="G1" s="2"/>
      <c r="H1" s="2"/>
      <c r="I1" s="3"/>
    </row>
    <row r="3" ht="30.0" customHeight="1">
      <c r="A3" s="13" t="s">
        <v>43</v>
      </c>
      <c r="B3" s="13" t="s">
        <v>44</v>
      </c>
      <c r="C3" s="13" t="s">
        <v>45</v>
      </c>
      <c r="D3" s="13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3" t="s">
        <v>51</v>
      </c>
    </row>
    <row r="4" ht="31.5" customHeight="1">
      <c r="A4" s="7" t="s">
        <v>84</v>
      </c>
      <c r="B4" s="20" t="s">
        <v>53</v>
      </c>
      <c r="C4" s="20" t="s">
        <v>54</v>
      </c>
      <c r="D4" s="20" t="s">
        <v>55</v>
      </c>
      <c r="E4" s="15"/>
      <c r="F4" s="15"/>
      <c r="G4" s="15"/>
      <c r="H4" s="15"/>
      <c r="I4" s="21" t="s">
        <v>85</v>
      </c>
    </row>
    <row r="5" ht="31.5" customHeight="1">
      <c r="A5" s="7" t="s">
        <v>86</v>
      </c>
      <c r="B5" s="20" t="s">
        <v>58</v>
      </c>
      <c r="C5" s="20" t="s">
        <v>67</v>
      </c>
      <c r="D5" s="20" t="s">
        <v>60</v>
      </c>
      <c r="E5" s="15"/>
      <c r="F5" s="15"/>
      <c r="G5" s="15"/>
      <c r="H5" s="15"/>
      <c r="I5" s="21" t="s">
        <v>87</v>
      </c>
    </row>
    <row r="6" ht="31.5" customHeight="1">
      <c r="A6" s="7" t="s">
        <v>88</v>
      </c>
      <c r="B6" s="20" t="s">
        <v>58</v>
      </c>
      <c r="C6" s="20" t="s">
        <v>59</v>
      </c>
      <c r="D6" s="20" t="s">
        <v>89</v>
      </c>
      <c r="E6" s="15"/>
      <c r="F6" s="15"/>
      <c r="G6" s="15"/>
      <c r="H6" s="15"/>
      <c r="I6" s="21" t="s">
        <v>90</v>
      </c>
    </row>
    <row r="7" ht="31.5" customHeight="1">
      <c r="A7" s="7" t="s">
        <v>91</v>
      </c>
      <c r="B7" s="20" t="s">
        <v>58</v>
      </c>
      <c r="C7" s="20" t="s">
        <v>59</v>
      </c>
      <c r="D7" s="20" t="s">
        <v>89</v>
      </c>
      <c r="E7" s="15"/>
      <c r="F7" s="15"/>
      <c r="G7" s="15"/>
      <c r="H7" s="15"/>
      <c r="I7" s="21" t="s">
        <v>92</v>
      </c>
    </row>
    <row r="8" ht="31.5" customHeight="1">
      <c r="A8" s="7" t="s">
        <v>93</v>
      </c>
      <c r="B8" s="20" t="s">
        <v>58</v>
      </c>
      <c r="C8" s="20" t="s">
        <v>63</v>
      </c>
      <c r="D8" s="20" t="s">
        <v>73</v>
      </c>
      <c r="E8" s="15"/>
      <c r="F8" s="15"/>
      <c r="G8" s="15"/>
      <c r="H8" s="15"/>
      <c r="I8" s="21" t="s">
        <v>94</v>
      </c>
    </row>
    <row r="9" ht="31.5" customHeight="1">
      <c r="A9" s="7" t="s">
        <v>95</v>
      </c>
      <c r="B9" s="20" t="s">
        <v>58</v>
      </c>
      <c r="C9" s="20" t="s">
        <v>59</v>
      </c>
      <c r="D9" s="20" t="s">
        <v>64</v>
      </c>
      <c r="E9" s="15"/>
      <c r="F9" s="15"/>
      <c r="G9" s="15"/>
      <c r="H9" s="15"/>
      <c r="I9" s="21" t="s">
        <v>96</v>
      </c>
    </row>
    <row r="10" ht="31.5" customHeight="1">
      <c r="A10" s="17" t="s">
        <v>97</v>
      </c>
      <c r="B10" s="18" t="s">
        <v>58</v>
      </c>
      <c r="C10" s="18" t="s">
        <v>98</v>
      </c>
      <c r="D10" s="18" t="s">
        <v>73</v>
      </c>
      <c r="E10" s="15"/>
      <c r="F10" s="15"/>
      <c r="G10" s="15"/>
      <c r="H10" s="15"/>
      <c r="I10" s="19" t="s">
        <v>99</v>
      </c>
    </row>
    <row r="12" ht="24.75" customHeight="1">
      <c r="A12" s="11" t="s">
        <v>77</v>
      </c>
      <c r="B12" s="2"/>
      <c r="C12" s="2"/>
      <c r="D12" s="2"/>
      <c r="E12" s="2"/>
      <c r="F12" s="2"/>
      <c r="G12" s="2"/>
      <c r="H12" s="2"/>
      <c r="I12" s="3"/>
    </row>
    <row r="13" ht="19.5" customHeight="1">
      <c r="A13" s="12" t="s">
        <v>78</v>
      </c>
      <c r="B13" s="2"/>
      <c r="C13" s="2"/>
      <c r="D13" s="2"/>
      <c r="E13" s="2"/>
      <c r="F13" s="2"/>
      <c r="G13" s="2"/>
      <c r="H13" s="2"/>
      <c r="I13" s="3"/>
    </row>
    <row r="14" ht="19.5" customHeight="1">
      <c r="A14" s="12" t="s">
        <v>79</v>
      </c>
      <c r="B14" s="2"/>
      <c r="C14" s="2"/>
      <c r="D14" s="2"/>
      <c r="E14" s="2"/>
      <c r="F14" s="2"/>
      <c r="G14" s="2"/>
      <c r="H14" s="2"/>
      <c r="I14" s="3"/>
    </row>
    <row r="15" ht="19.5" customHeight="1">
      <c r="A15" s="12" t="s">
        <v>80</v>
      </c>
      <c r="B15" s="2"/>
      <c r="C15" s="2"/>
      <c r="D15" s="2"/>
      <c r="E15" s="2"/>
      <c r="F15" s="2"/>
      <c r="G15" s="2"/>
      <c r="H15" s="2"/>
      <c r="I15" s="3"/>
    </row>
    <row r="16" ht="19.5" customHeight="1">
      <c r="A16" s="12" t="s">
        <v>81</v>
      </c>
      <c r="B16" s="2"/>
      <c r="C16" s="2"/>
      <c r="D16" s="2"/>
      <c r="E16" s="2"/>
      <c r="F16" s="2"/>
      <c r="G16" s="2"/>
      <c r="H16" s="2"/>
      <c r="I16" s="3"/>
    </row>
    <row r="17" ht="19.5" customHeight="1">
      <c r="A17" s="12" t="s">
        <v>82</v>
      </c>
      <c r="B17" s="2"/>
      <c r="C17" s="2"/>
      <c r="D17" s="2"/>
      <c r="E17" s="2"/>
      <c r="F17" s="2"/>
      <c r="G17" s="2"/>
      <c r="H17" s="2"/>
      <c r="I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12:I12"/>
    <mergeCell ref="A13:I13"/>
    <mergeCell ref="A14:I14"/>
    <mergeCell ref="A15:I15"/>
    <mergeCell ref="A16:I16"/>
    <mergeCell ref="A17:I1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.0"/>
    <col customWidth="1" min="3" max="8" width="11.0"/>
    <col customWidth="1" min="9" max="9" width="35.0"/>
    <col customWidth="1" min="10" max="26" width="8.71"/>
  </cols>
  <sheetData>
    <row r="1" ht="30.0" customHeight="1">
      <c r="A1" s="1" t="s">
        <v>100</v>
      </c>
      <c r="B1" s="2"/>
      <c r="C1" s="2"/>
      <c r="D1" s="2"/>
      <c r="E1" s="2"/>
      <c r="F1" s="2"/>
      <c r="G1" s="2"/>
      <c r="H1" s="2"/>
      <c r="I1" s="3"/>
    </row>
    <row r="3" ht="30.0" customHeight="1">
      <c r="A3" s="13" t="s">
        <v>43</v>
      </c>
      <c r="B3" s="13" t="s">
        <v>44</v>
      </c>
      <c r="C3" s="13" t="s">
        <v>45</v>
      </c>
      <c r="D3" s="13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3" t="s">
        <v>51</v>
      </c>
    </row>
    <row r="4" ht="31.5" customHeight="1">
      <c r="A4" s="5" t="s">
        <v>101</v>
      </c>
      <c r="B4" s="14" t="s">
        <v>53</v>
      </c>
      <c r="C4" s="14" t="s">
        <v>54</v>
      </c>
      <c r="D4" s="14" t="s">
        <v>55</v>
      </c>
      <c r="E4" s="15"/>
      <c r="F4" s="15"/>
      <c r="G4" s="15"/>
      <c r="H4" s="15"/>
      <c r="I4" s="16" t="s">
        <v>102</v>
      </c>
    </row>
    <row r="5" ht="31.5" customHeight="1">
      <c r="A5" s="5" t="s">
        <v>103</v>
      </c>
      <c r="B5" s="14" t="s">
        <v>58</v>
      </c>
      <c r="C5" s="14" t="s">
        <v>104</v>
      </c>
      <c r="D5" s="14" t="s">
        <v>60</v>
      </c>
      <c r="E5" s="15"/>
      <c r="F5" s="15"/>
      <c r="G5" s="15"/>
      <c r="H5" s="15"/>
      <c r="I5" s="16" t="s">
        <v>105</v>
      </c>
    </row>
    <row r="6" ht="31.5" customHeight="1">
      <c r="A6" s="5" t="s">
        <v>106</v>
      </c>
      <c r="B6" s="14" t="s">
        <v>58</v>
      </c>
      <c r="C6" s="14" t="s">
        <v>59</v>
      </c>
      <c r="D6" s="14" t="s">
        <v>89</v>
      </c>
      <c r="E6" s="15"/>
      <c r="F6" s="15"/>
      <c r="G6" s="15"/>
      <c r="H6" s="15"/>
      <c r="I6" s="16" t="s">
        <v>107</v>
      </c>
    </row>
    <row r="7" ht="31.5" customHeight="1">
      <c r="A7" s="5" t="s">
        <v>108</v>
      </c>
      <c r="B7" s="14" t="s">
        <v>58</v>
      </c>
      <c r="C7" s="14" t="s">
        <v>67</v>
      </c>
      <c r="D7" s="14" t="s">
        <v>89</v>
      </c>
      <c r="E7" s="15"/>
      <c r="F7" s="15"/>
      <c r="G7" s="15"/>
      <c r="H7" s="15"/>
      <c r="I7" s="16" t="s">
        <v>109</v>
      </c>
    </row>
    <row r="8" ht="31.5" customHeight="1">
      <c r="A8" s="5" t="s">
        <v>110</v>
      </c>
      <c r="B8" s="14" t="s">
        <v>53</v>
      </c>
      <c r="C8" s="14" t="s">
        <v>63</v>
      </c>
      <c r="D8" s="14" t="s">
        <v>64</v>
      </c>
      <c r="E8" s="15"/>
      <c r="F8" s="15"/>
      <c r="G8" s="15"/>
      <c r="H8" s="15"/>
      <c r="I8" s="16" t="s">
        <v>111</v>
      </c>
    </row>
    <row r="9" ht="31.5" customHeight="1">
      <c r="A9" s="17" t="s">
        <v>112</v>
      </c>
      <c r="B9" s="18" t="s">
        <v>58</v>
      </c>
      <c r="C9" s="18" t="s">
        <v>63</v>
      </c>
      <c r="D9" s="18" t="s">
        <v>73</v>
      </c>
      <c r="E9" s="15"/>
      <c r="F9" s="15"/>
      <c r="G9" s="15"/>
      <c r="H9" s="15"/>
      <c r="I9" s="19" t="s">
        <v>113</v>
      </c>
    </row>
    <row r="10" ht="31.5" customHeight="1">
      <c r="A10" s="17" t="s">
        <v>114</v>
      </c>
      <c r="B10" s="18" t="s">
        <v>58</v>
      </c>
      <c r="C10" s="18" t="s">
        <v>115</v>
      </c>
      <c r="D10" s="18" t="s">
        <v>116</v>
      </c>
      <c r="E10" s="15"/>
      <c r="F10" s="15"/>
      <c r="G10" s="15"/>
      <c r="H10" s="15"/>
      <c r="I10" s="19" t="s">
        <v>117</v>
      </c>
    </row>
    <row r="12" ht="24.75" customHeight="1">
      <c r="A12" s="11" t="s">
        <v>77</v>
      </c>
      <c r="B12" s="2"/>
      <c r="C12" s="2"/>
      <c r="D12" s="2"/>
      <c r="E12" s="2"/>
      <c r="F12" s="2"/>
      <c r="G12" s="2"/>
      <c r="H12" s="2"/>
      <c r="I12" s="3"/>
    </row>
    <row r="13" ht="19.5" customHeight="1">
      <c r="A13" s="12" t="s">
        <v>78</v>
      </c>
      <c r="B13" s="2"/>
      <c r="C13" s="2"/>
      <c r="D13" s="2"/>
      <c r="E13" s="2"/>
      <c r="F13" s="2"/>
      <c r="G13" s="2"/>
      <c r="H13" s="2"/>
      <c r="I13" s="3"/>
    </row>
    <row r="14" ht="19.5" customHeight="1">
      <c r="A14" s="12" t="s">
        <v>79</v>
      </c>
      <c r="B14" s="2"/>
      <c r="C14" s="2"/>
      <c r="D14" s="2"/>
      <c r="E14" s="2"/>
      <c r="F14" s="2"/>
      <c r="G14" s="2"/>
      <c r="H14" s="2"/>
      <c r="I14" s="3"/>
    </row>
    <row r="15" ht="19.5" customHeight="1">
      <c r="A15" s="12" t="s">
        <v>80</v>
      </c>
      <c r="B15" s="2"/>
      <c r="C15" s="2"/>
      <c r="D15" s="2"/>
      <c r="E15" s="2"/>
      <c r="F15" s="2"/>
      <c r="G15" s="2"/>
      <c r="H15" s="2"/>
      <c r="I15" s="3"/>
    </row>
    <row r="16" ht="19.5" customHeight="1">
      <c r="A16" s="12" t="s">
        <v>81</v>
      </c>
      <c r="B16" s="2"/>
      <c r="C16" s="2"/>
      <c r="D16" s="2"/>
      <c r="E16" s="2"/>
      <c r="F16" s="2"/>
      <c r="G16" s="2"/>
      <c r="H16" s="2"/>
      <c r="I16" s="3"/>
    </row>
    <row r="17" ht="19.5" customHeight="1">
      <c r="A17" s="12" t="s">
        <v>82</v>
      </c>
      <c r="B17" s="2"/>
      <c r="C17" s="2"/>
      <c r="D17" s="2"/>
      <c r="E17" s="2"/>
      <c r="F17" s="2"/>
      <c r="G17" s="2"/>
      <c r="H17" s="2"/>
      <c r="I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12:I12"/>
    <mergeCell ref="A13:I13"/>
    <mergeCell ref="A14:I14"/>
    <mergeCell ref="A15:I15"/>
    <mergeCell ref="A16:I16"/>
    <mergeCell ref="A17:I1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.0"/>
    <col customWidth="1" min="3" max="8" width="11.0"/>
    <col customWidth="1" min="9" max="9" width="35.0"/>
    <col customWidth="1" min="10" max="26" width="8.71"/>
  </cols>
  <sheetData>
    <row r="1" ht="30.0" customHeight="1">
      <c r="A1" s="1" t="s">
        <v>118</v>
      </c>
      <c r="B1" s="2"/>
      <c r="C1" s="2"/>
      <c r="D1" s="2"/>
      <c r="E1" s="2"/>
      <c r="F1" s="2"/>
      <c r="G1" s="2"/>
      <c r="H1" s="2"/>
      <c r="I1" s="3"/>
    </row>
    <row r="3" ht="30.0" customHeight="1">
      <c r="A3" s="13" t="s">
        <v>43</v>
      </c>
      <c r="B3" s="13" t="s">
        <v>44</v>
      </c>
      <c r="C3" s="13" t="s">
        <v>45</v>
      </c>
      <c r="D3" s="13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3" t="s">
        <v>51</v>
      </c>
    </row>
    <row r="4" ht="31.5" customHeight="1">
      <c r="A4" s="7" t="s">
        <v>119</v>
      </c>
      <c r="B4" s="20" t="s">
        <v>53</v>
      </c>
      <c r="C4" s="20" t="s">
        <v>120</v>
      </c>
      <c r="D4" s="20" t="s">
        <v>55</v>
      </c>
      <c r="E4" s="15"/>
      <c r="F4" s="15"/>
      <c r="G4" s="15"/>
      <c r="H4" s="15"/>
      <c r="I4" s="21" t="s">
        <v>121</v>
      </c>
    </row>
    <row r="5" ht="31.5" customHeight="1">
      <c r="A5" s="7" t="s">
        <v>122</v>
      </c>
      <c r="B5" s="20" t="s">
        <v>53</v>
      </c>
      <c r="C5" s="20" t="s">
        <v>67</v>
      </c>
      <c r="D5" s="20" t="s">
        <v>60</v>
      </c>
      <c r="E5" s="15"/>
      <c r="F5" s="15"/>
      <c r="G5" s="15"/>
      <c r="H5" s="15"/>
      <c r="I5" s="21" t="s">
        <v>123</v>
      </c>
    </row>
    <row r="6" ht="31.5" customHeight="1">
      <c r="A6" s="7" t="s">
        <v>124</v>
      </c>
      <c r="B6" s="20" t="s">
        <v>58</v>
      </c>
      <c r="C6" s="20" t="s">
        <v>59</v>
      </c>
      <c r="D6" s="20" t="s">
        <v>89</v>
      </c>
      <c r="E6" s="15"/>
      <c r="F6" s="15"/>
      <c r="G6" s="15"/>
      <c r="H6" s="15"/>
      <c r="I6" s="21" t="s">
        <v>125</v>
      </c>
    </row>
    <row r="7" ht="31.5" customHeight="1">
      <c r="A7" s="7" t="s">
        <v>126</v>
      </c>
      <c r="B7" s="20" t="s">
        <v>58</v>
      </c>
      <c r="C7" s="20" t="s">
        <v>67</v>
      </c>
      <c r="D7" s="20" t="s">
        <v>60</v>
      </c>
      <c r="E7" s="15"/>
      <c r="F7" s="15"/>
      <c r="G7" s="15"/>
      <c r="H7" s="15"/>
      <c r="I7" s="21" t="s">
        <v>127</v>
      </c>
    </row>
    <row r="8" ht="31.5" customHeight="1">
      <c r="A8" s="7" t="s">
        <v>128</v>
      </c>
      <c r="B8" s="20" t="s">
        <v>58</v>
      </c>
      <c r="C8" s="20" t="s">
        <v>67</v>
      </c>
      <c r="D8" s="20" t="s">
        <v>64</v>
      </c>
      <c r="E8" s="15"/>
      <c r="F8" s="15"/>
      <c r="G8" s="15"/>
      <c r="H8" s="15"/>
      <c r="I8" s="21" t="s">
        <v>129</v>
      </c>
    </row>
    <row r="9" ht="31.5" customHeight="1">
      <c r="A9" s="7" t="s">
        <v>130</v>
      </c>
      <c r="B9" s="20" t="s">
        <v>58</v>
      </c>
      <c r="C9" s="20" t="s">
        <v>59</v>
      </c>
      <c r="D9" s="20" t="s">
        <v>73</v>
      </c>
      <c r="E9" s="15"/>
      <c r="F9" s="15"/>
      <c r="G9" s="15"/>
      <c r="H9" s="15"/>
      <c r="I9" s="21" t="s">
        <v>131</v>
      </c>
    </row>
    <row r="10" ht="31.5" customHeight="1">
      <c r="A10" s="17" t="s">
        <v>132</v>
      </c>
      <c r="B10" s="18" t="s">
        <v>58</v>
      </c>
      <c r="C10" s="18" t="s">
        <v>133</v>
      </c>
      <c r="D10" s="18" t="s">
        <v>73</v>
      </c>
      <c r="E10" s="15"/>
      <c r="F10" s="15"/>
      <c r="G10" s="15"/>
      <c r="H10" s="15"/>
      <c r="I10" s="19" t="s">
        <v>134</v>
      </c>
    </row>
    <row r="11" ht="31.5" customHeight="1">
      <c r="A11" s="17" t="s">
        <v>135</v>
      </c>
      <c r="B11" s="18" t="s">
        <v>58</v>
      </c>
      <c r="C11" s="18" t="s">
        <v>136</v>
      </c>
      <c r="D11" s="18" t="s">
        <v>73</v>
      </c>
      <c r="E11" s="15"/>
      <c r="F11" s="15"/>
      <c r="G11" s="15"/>
      <c r="H11" s="15"/>
      <c r="I11" s="19" t="s">
        <v>137</v>
      </c>
    </row>
    <row r="13" ht="24.75" customHeight="1">
      <c r="A13" s="11" t="s">
        <v>77</v>
      </c>
      <c r="B13" s="2"/>
      <c r="C13" s="2"/>
      <c r="D13" s="2"/>
      <c r="E13" s="2"/>
      <c r="F13" s="2"/>
      <c r="G13" s="2"/>
      <c r="H13" s="2"/>
      <c r="I13" s="3"/>
    </row>
    <row r="14" ht="19.5" customHeight="1">
      <c r="A14" s="12" t="s">
        <v>78</v>
      </c>
      <c r="B14" s="2"/>
      <c r="C14" s="2"/>
      <c r="D14" s="2"/>
      <c r="E14" s="2"/>
      <c r="F14" s="2"/>
      <c r="G14" s="2"/>
      <c r="H14" s="2"/>
      <c r="I14" s="3"/>
    </row>
    <row r="15" ht="19.5" customHeight="1">
      <c r="A15" s="12" t="s">
        <v>79</v>
      </c>
      <c r="B15" s="2"/>
      <c r="C15" s="2"/>
      <c r="D15" s="2"/>
      <c r="E15" s="2"/>
      <c r="F15" s="2"/>
      <c r="G15" s="2"/>
      <c r="H15" s="2"/>
      <c r="I15" s="3"/>
    </row>
    <row r="16" ht="19.5" customHeight="1">
      <c r="A16" s="12" t="s">
        <v>80</v>
      </c>
      <c r="B16" s="2"/>
      <c r="C16" s="2"/>
      <c r="D16" s="2"/>
      <c r="E16" s="2"/>
      <c r="F16" s="2"/>
      <c r="G16" s="2"/>
      <c r="H16" s="2"/>
      <c r="I16" s="3"/>
    </row>
    <row r="17" ht="19.5" customHeight="1">
      <c r="A17" s="12" t="s">
        <v>81</v>
      </c>
      <c r="B17" s="2"/>
      <c r="C17" s="2"/>
      <c r="D17" s="2"/>
      <c r="E17" s="2"/>
      <c r="F17" s="2"/>
      <c r="G17" s="2"/>
      <c r="H17" s="2"/>
      <c r="I17" s="3"/>
    </row>
    <row r="18" ht="19.5" customHeight="1">
      <c r="A18" s="12" t="s">
        <v>82</v>
      </c>
      <c r="B18" s="2"/>
      <c r="C18" s="2"/>
      <c r="D18" s="2"/>
      <c r="E18" s="2"/>
      <c r="F18" s="2"/>
      <c r="G18" s="2"/>
      <c r="H18" s="2"/>
      <c r="I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13:I13"/>
    <mergeCell ref="A14:I14"/>
    <mergeCell ref="A15:I15"/>
    <mergeCell ref="A16:I16"/>
    <mergeCell ref="A17:I17"/>
    <mergeCell ref="A18:I1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0.0"/>
    <col customWidth="1" min="3" max="4" width="12.0"/>
    <col customWidth="1" min="5" max="5" width="14.0"/>
    <col customWidth="1" min="6" max="6" width="45.0"/>
    <col customWidth="1" min="7" max="7" width="14.0"/>
    <col customWidth="1" min="8" max="26" width="8.71"/>
  </cols>
  <sheetData>
    <row r="1" ht="30.0" customHeight="1">
      <c r="A1" s="1" t="s">
        <v>138</v>
      </c>
      <c r="B1" s="2"/>
      <c r="C1" s="2"/>
      <c r="D1" s="2"/>
      <c r="E1" s="2"/>
      <c r="F1" s="2"/>
      <c r="G1" s="3"/>
    </row>
    <row r="3" ht="24.75" customHeight="1">
      <c r="A3" s="11" t="s">
        <v>139</v>
      </c>
      <c r="B3" s="2"/>
      <c r="C3" s="2"/>
      <c r="D3" s="2"/>
      <c r="E3" s="2"/>
      <c r="F3" s="2"/>
      <c r="G3" s="3"/>
    </row>
    <row r="5">
      <c r="A5" s="22" t="s">
        <v>140</v>
      </c>
      <c r="B5" s="15">
        <v>185.0</v>
      </c>
    </row>
    <row r="6">
      <c r="A6" s="22" t="s">
        <v>141</v>
      </c>
      <c r="B6" s="15">
        <v>60.0</v>
      </c>
    </row>
    <row r="7">
      <c r="A7" s="23" t="s">
        <v>142</v>
      </c>
      <c r="B7" s="24">
        <f>B5-B6</f>
        <v>125</v>
      </c>
    </row>
    <row r="9">
      <c r="A9" s="22" t="s">
        <v>143</v>
      </c>
      <c r="B9" s="24">
        <f>ROUND((B7*0.6)+B6,0)</f>
        <v>135</v>
      </c>
    </row>
    <row r="10">
      <c r="A10" s="22" t="s">
        <v>144</v>
      </c>
      <c r="B10" s="24">
        <f>ROUND((B7*0.7)+B6,0)</f>
        <v>148</v>
      </c>
    </row>
    <row r="12" ht="24.75" customHeight="1">
      <c r="A12" s="11" t="s">
        <v>145</v>
      </c>
      <c r="B12" s="2"/>
      <c r="C12" s="2"/>
      <c r="D12" s="2"/>
      <c r="E12" s="2"/>
      <c r="F12" s="2"/>
      <c r="G12" s="3"/>
    </row>
    <row r="13" ht="27.75" customHeight="1">
      <c r="A13" s="13" t="s">
        <v>1</v>
      </c>
      <c r="B13" s="13" t="s">
        <v>146</v>
      </c>
      <c r="C13" s="13" t="s">
        <v>4</v>
      </c>
      <c r="D13" s="13" t="s">
        <v>147</v>
      </c>
      <c r="E13" s="13" t="s">
        <v>148</v>
      </c>
      <c r="F13" s="13" t="s">
        <v>149</v>
      </c>
      <c r="G13" s="13" t="s">
        <v>150</v>
      </c>
    </row>
    <row r="14" ht="34.5" customHeight="1">
      <c r="A14" s="9" t="s">
        <v>14</v>
      </c>
      <c r="B14" s="10" t="s">
        <v>151</v>
      </c>
      <c r="C14" s="25" t="s">
        <v>17</v>
      </c>
      <c r="D14" s="25" t="s">
        <v>152</v>
      </c>
      <c r="E14" s="25" t="str">
        <f>B9 &amp; "-" &amp; B10</f>
        <v>135-148</v>
      </c>
      <c r="F14" s="10" t="s">
        <v>153</v>
      </c>
      <c r="G14" s="15"/>
    </row>
    <row r="15" ht="34.5" customHeight="1">
      <c r="A15" s="9" t="s">
        <v>154</v>
      </c>
      <c r="B15" s="10" t="s">
        <v>155</v>
      </c>
      <c r="C15" s="25" t="s">
        <v>156</v>
      </c>
      <c r="D15" s="25" t="s">
        <v>152</v>
      </c>
      <c r="E15" s="25" t="str">
        <f>B9 &amp; "-" &amp; B10</f>
        <v>135-148</v>
      </c>
      <c r="F15" s="10" t="s">
        <v>157</v>
      </c>
      <c r="G15" s="15"/>
    </row>
    <row r="16" ht="34.5" customHeight="1">
      <c r="A16" s="9" t="s">
        <v>158</v>
      </c>
      <c r="B16" s="10" t="s">
        <v>159</v>
      </c>
      <c r="C16" s="25" t="s">
        <v>160</v>
      </c>
      <c r="D16" s="25" t="s">
        <v>152</v>
      </c>
      <c r="E16" s="25" t="str">
        <f>B9 &amp; "-" &amp; B10</f>
        <v>135-148</v>
      </c>
      <c r="F16" s="10" t="s">
        <v>161</v>
      </c>
      <c r="G16" s="15"/>
    </row>
    <row r="17" ht="34.5" customHeight="1">
      <c r="A17" s="9" t="s">
        <v>29</v>
      </c>
      <c r="B17" s="10" t="s">
        <v>162</v>
      </c>
      <c r="C17" s="25" t="s">
        <v>31</v>
      </c>
      <c r="D17" s="25" t="s">
        <v>152</v>
      </c>
      <c r="E17" s="25" t="str">
        <f>B9 &amp; "-" &amp; B10</f>
        <v>135-148</v>
      </c>
      <c r="F17" s="10" t="s">
        <v>163</v>
      </c>
      <c r="G17" s="15"/>
    </row>
    <row r="19" ht="24.75" customHeight="1">
      <c r="A19" s="11" t="s">
        <v>164</v>
      </c>
      <c r="B19" s="2"/>
      <c r="C19" s="2"/>
      <c r="D19" s="2"/>
      <c r="E19" s="2"/>
      <c r="F19" s="2"/>
      <c r="G19" s="3"/>
    </row>
    <row r="20" ht="21.75" customHeight="1">
      <c r="A20" s="12" t="s">
        <v>165</v>
      </c>
      <c r="B20" s="2"/>
      <c r="C20" s="2"/>
      <c r="D20" s="2"/>
      <c r="E20" s="2"/>
      <c r="F20" s="2"/>
      <c r="G20" s="3"/>
    </row>
    <row r="21" ht="21.75" customHeight="1">
      <c r="A21" s="12" t="s">
        <v>166</v>
      </c>
      <c r="B21" s="2"/>
      <c r="C21" s="2"/>
      <c r="D21" s="2"/>
      <c r="E21" s="2"/>
      <c r="F21" s="2"/>
      <c r="G21" s="3"/>
    </row>
    <row r="22" ht="21.75" customHeight="1">
      <c r="A22" s="12" t="s">
        <v>167</v>
      </c>
      <c r="B22" s="2"/>
      <c r="C22" s="2"/>
      <c r="D22" s="2"/>
      <c r="E22" s="2"/>
      <c r="F22" s="2"/>
      <c r="G22" s="3"/>
    </row>
    <row r="23" ht="21.75" customHeight="1">
      <c r="A23" s="12" t="s">
        <v>168</v>
      </c>
      <c r="B23" s="2"/>
      <c r="C23" s="2"/>
      <c r="D23" s="2"/>
      <c r="E23" s="2"/>
      <c r="F23" s="2"/>
      <c r="G23" s="3"/>
    </row>
    <row r="24" ht="21.75" customHeight="1">
      <c r="A24" s="12" t="s">
        <v>169</v>
      </c>
      <c r="B24" s="2"/>
      <c r="C24" s="2"/>
      <c r="D24" s="2"/>
      <c r="E24" s="2"/>
      <c r="F24" s="2"/>
      <c r="G24" s="3"/>
    </row>
    <row r="25" ht="21.75" customHeight="1">
      <c r="A25" s="12" t="s">
        <v>170</v>
      </c>
      <c r="B25" s="2"/>
      <c r="C25" s="2"/>
      <c r="D25" s="2"/>
      <c r="E25" s="2"/>
      <c r="F25" s="2"/>
      <c r="G25" s="3"/>
    </row>
    <row r="26" ht="21.75" customHeight="1">
      <c r="A26" s="12" t="s">
        <v>171</v>
      </c>
      <c r="B26" s="2"/>
      <c r="C26" s="2"/>
      <c r="D26" s="2"/>
      <c r="E26" s="2"/>
      <c r="F26" s="2"/>
      <c r="G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3:G23"/>
    <mergeCell ref="A24:G24"/>
    <mergeCell ref="A25:G25"/>
    <mergeCell ref="A26:G26"/>
    <mergeCell ref="A1:G1"/>
    <mergeCell ref="A3:G3"/>
    <mergeCell ref="A12:G12"/>
    <mergeCell ref="A19:G19"/>
    <mergeCell ref="A20:G20"/>
    <mergeCell ref="A21:G21"/>
    <mergeCell ref="A22:G2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7" width="16.0"/>
    <col customWidth="1" min="8" max="8" width="35.0"/>
    <col customWidth="1" min="9" max="26" width="8.71"/>
  </cols>
  <sheetData>
    <row r="1" ht="30.0" customHeight="1">
      <c r="A1" s="1" t="s">
        <v>172</v>
      </c>
      <c r="B1" s="2"/>
      <c r="C1" s="2"/>
      <c r="D1" s="2"/>
      <c r="E1" s="2"/>
      <c r="F1" s="2"/>
      <c r="G1" s="2"/>
      <c r="H1" s="3"/>
    </row>
    <row r="3" ht="34.5" customHeight="1">
      <c r="A3" s="13" t="s">
        <v>173</v>
      </c>
      <c r="B3" s="13" t="s">
        <v>174</v>
      </c>
      <c r="C3" s="13" t="s">
        <v>175</v>
      </c>
      <c r="D3" s="13" t="s">
        <v>176</v>
      </c>
      <c r="E3" s="13" t="s">
        <v>177</v>
      </c>
      <c r="F3" s="13" t="s">
        <v>178</v>
      </c>
      <c r="G3" s="13" t="s">
        <v>179</v>
      </c>
      <c r="H3" s="13" t="s">
        <v>5</v>
      </c>
    </row>
    <row r="4" ht="24.75" customHeight="1">
      <c r="A4" s="26" t="s">
        <v>180</v>
      </c>
      <c r="B4" s="15"/>
      <c r="C4" s="15"/>
      <c r="D4" s="15"/>
      <c r="E4" s="15"/>
      <c r="F4" s="15"/>
      <c r="G4" s="15"/>
      <c r="H4" s="27"/>
    </row>
    <row r="5" ht="24.75" customHeight="1">
      <c r="A5" s="26" t="s">
        <v>181</v>
      </c>
      <c r="B5" s="15"/>
      <c r="C5" s="15"/>
      <c r="D5" s="15"/>
      <c r="E5" s="15"/>
      <c r="F5" s="15"/>
      <c r="G5" s="15"/>
      <c r="H5" s="27"/>
    </row>
    <row r="6" ht="24.75" customHeight="1">
      <c r="A6" s="26" t="s">
        <v>182</v>
      </c>
      <c r="B6" s="15"/>
      <c r="C6" s="15"/>
      <c r="D6" s="15"/>
      <c r="E6" s="15"/>
      <c r="F6" s="15"/>
      <c r="G6" s="15"/>
      <c r="H6" s="27"/>
    </row>
    <row r="7" ht="24.75" customHeight="1">
      <c r="A7" s="26" t="s">
        <v>183</v>
      </c>
      <c r="B7" s="15"/>
      <c r="C7" s="15"/>
      <c r="D7" s="15"/>
      <c r="E7" s="15"/>
      <c r="F7" s="15"/>
      <c r="G7" s="15"/>
      <c r="H7" s="27"/>
    </row>
    <row r="8" ht="24.75" customHeight="1">
      <c r="A8" s="26" t="s">
        <v>184</v>
      </c>
      <c r="B8" s="15"/>
      <c r="C8" s="15"/>
      <c r="D8" s="15"/>
      <c r="E8" s="15"/>
      <c r="F8" s="15"/>
      <c r="G8" s="15"/>
      <c r="H8" s="27"/>
    </row>
    <row r="9" ht="24.75" customHeight="1">
      <c r="A9" s="26" t="s">
        <v>185</v>
      </c>
      <c r="B9" s="15"/>
      <c r="C9" s="15"/>
      <c r="D9" s="15"/>
      <c r="E9" s="15"/>
      <c r="F9" s="15"/>
      <c r="G9" s="15"/>
      <c r="H9" s="27"/>
    </row>
    <row r="10" ht="24.75" customHeight="1">
      <c r="A10" s="26" t="s">
        <v>186</v>
      </c>
      <c r="B10" s="15"/>
      <c r="C10" s="15"/>
      <c r="D10" s="15"/>
      <c r="E10" s="15"/>
      <c r="F10" s="15"/>
      <c r="G10" s="15"/>
      <c r="H10" s="27"/>
    </row>
    <row r="11" ht="24.75" customHeight="1">
      <c r="A11" s="26" t="s">
        <v>187</v>
      </c>
      <c r="B11" s="15"/>
      <c r="C11" s="15"/>
      <c r="D11" s="15"/>
      <c r="E11" s="15"/>
      <c r="F11" s="15"/>
      <c r="G11" s="15"/>
      <c r="H11" s="27"/>
    </row>
    <row r="12" ht="24.75" customHeight="1">
      <c r="A12" s="26" t="s">
        <v>188</v>
      </c>
      <c r="B12" s="15"/>
      <c r="C12" s="15"/>
      <c r="D12" s="15"/>
      <c r="E12" s="15"/>
      <c r="F12" s="15"/>
      <c r="G12" s="15"/>
      <c r="H12" s="27"/>
    </row>
    <row r="13" ht="24.75" customHeight="1">
      <c r="A13" s="26" t="s">
        <v>189</v>
      </c>
      <c r="B13" s="15"/>
      <c r="C13" s="15"/>
      <c r="D13" s="15"/>
      <c r="E13" s="15"/>
      <c r="F13" s="15"/>
      <c r="G13" s="15"/>
      <c r="H13" s="27"/>
    </row>
    <row r="14" ht="24.75" customHeight="1">
      <c r="A14" s="26" t="s">
        <v>190</v>
      </c>
      <c r="B14" s="15"/>
      <c r="C14" s="15"/>
      <c r="D14" s="15"/>
      <c r="E14" s="15"/>
      <c r="F14" s="15"/>
      <c r="G14" s="15"/>
      <c r="H14" s="27"/>
    </row>
    <row r="15" ht="24.75" customHeight="1">
      <c r="A15" s="26" t="s">
        <v>191</v>
      </c>
      <c r="B15" s="15"/>
      <c r="C15" s="15"/>
      <c r="D15" s="15"/>
      <c r="E15" s="15"/>
      <c r="F15" s="15"/>
      <c r="G15" s="15"/>
      <c r="H15" s="27"/>
    </row>
    <row r="17" ht="24.75" customHeight="1">
      <c r="A17" s="11" t="s">
        <v>192</v>
      </c>
      <c r="B17" s="2"/>
      <c r="C17" s="2"/>
      <c r="D17" s="2"/>
      <c r="E17" s="2"/>
      <c r="F17" s="2"/>
      <c r="G17" s="2"/>
      <c r="H17" s="3"/>
    </row>
    <row r="18" ht="21.75" customHeight="1">
      <c r="A18" s="12" t="s">
        <v>193</v>
      </c>
      <c r="B18" s="2"/>
      <c r="C18" s="2"/>
      <c r="D18" s="2"/>
      <c r="E18" s="2"/>
      <c r="F18" s="2"/>
      <c r="G18" s="2"/>
      <c r="H18" s="3"/>
    </row>
    <row r="19" ht="21.75" customHeight="1">
      <c r="A19" s="12" t="s">
        <v>194</v>
      </c>
      <c r="B19" s="2"/>
      <c r="C19" s="2"/>
      <c r="D19" s="2"/>
      <c r="E19" s="2"/>
      <c r="F19" s="2"/>
      <c r="G19" s="2"/>
      <c r="H19" s="3"/>
    </row>
    <row r="20" ht="21.75" customHeight="1">
      <c r="A20" s="12" t="s">
        <v>195</v>
      </c>
      <c r="B20" s="2"/>
      <c r="C20" s="2"/>
      <c r="D20" s="2"/>
      <c r="E20" s="2"/>
      <c r="F20" s="2"/>
      <c r="G20" s="2"/>
      <c r="H20" s="3"/>
    </row>
    <row r="21" ht="21.75" customHeight="1">
      <c r="A21" s="12" t="s">
        <v>196</v>
      </c>
      <c r="B21" s="2"/>
      <c r="C21" s="2"/>
      <c r="D21" s="2"/>
      <c r="E21" s="2"/>
      <c r="F21" s="2"/>
      <c r="G21" s="2"/>
      <c r="H21" s="3"/>
    </row>
    <row r="22" ht="21.75" customHeight="1">
      <c r="A22" s="12" t="s">
        <v>197</v>
      </c>
      <c r="B22" s="2"/>
      <c r="C22" s="2"/>
      <c r="D22" s="2"/>
      <c r="E22" s="2"/>
      <c r="F22" s="2"/>
      <c r="G22" s="2"/>
      <c r="H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17:H17"/>
    <mergeCell ref="A18:H18"/>
    <mergeCell ref="A19:H19"/>
    <mergeCell ref="A20:H20"/>
    <mergeCell ref="A21:H21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4" width="20.0"/>
    <col customWidth="1" min="5" max="26" width="8.71"/>
  </cols>
  <sheetData>
    <row r="1" ht="30.0" customHeight="1">
      <c r="A1" s="1" t="s">
        <v>198</v>
      </c>
      <c r="B1" s="2"/>
      <c r="C1" s="2"/>
      <c r="D1" s="3"/>
    </row>
    <row r="3" ht="24.75" customHeight="1">
      <c r="A3" s="11" t="s">
        <v>199</v>
      </c>
      <c r="B3" s="2"/>
      <c r="C3" s="2"/>
      <c r="D3" s="3"/>
    </row>
    <row r="5">
      <c r="A5" s="22" t="s">
        <v>200</v>
      </c>
      <c r="B5" s="28">
        <v>109.0</v>
      </c>
    </row>
    <row r="6">
      <c r="A6" s="22" t="s">
        <v>201</v>
      </c>
      <c r="B6" s="28">
        <v>95.0</v>
      </c>
    </row>
    <row r="8">
      <c r="A8" s="22" t="s">
        <v>202</v>
      </c>
      <c r="B8" s="24" t="str">
        <f>IF(B6="","",ROUND(B6*1.6,0)) &amp; " g"</f>
        <v>152 g</v>
      </c>
    </row>
    <row r="9">
      <c r="A9" s="22" t="s">
        <v>203</v>
      </c>
      <c r="B9" s="24" t="str">
        <f>IF(B6="","",ROUND(B6*2,0)) &amp; " g"</f>
        <v>190 g</v>
      </c>
    </row>
    <row r="10">
      <c r="A10" s="22" t="s">
        <v>204</v>
      </c>
      <c r="B10" s="24" t="str">
        <f>IF(B6="","",ROUND(B6*2.2,0)) &amp; " g"</f>
        <v>209 g</v>
      </c>
    </row>
    <row r="12" ht="24.75" customHeight="1">
      <c r="A12" s="11" t="s">
        <v>205</v>
      </c>
      <c r="B12" s="2"/>
      <c r="C12" s="2"/>
      <c r="D12" s="3"/>
    </row>
    <row r="13" ht="24.75" customHeight="1">
      <c r="A13" s="13" t="s">
        <v>206</v>
      </c>
      <c r="B13" s="29" t="s">
        <v>207</v>
      </c>
      <c r="C13" s="2"/>
      <c r="D13" s="3"/>
    </row>
    <row r="14" ht="39.75" customHeight="1">
      <c r="A14" s="30" t="s">
        <v>208</v>
      </c>
      <c r="B14" s="12" t="s">
        <v>209</v>
      </c>
      <c r="C14" s="2"/>
      <c r="D14" s="3"/>
    </row>
    <row r="15" ht="39.75" customHeight="1">
      <c r="A15" s="30" t="s">
        <v>210</v>
      </c>
      <c r="B15" s="12" t="s">
        <v>211</v>
      </c>
      <c r="C15" s="2"/>
      <c r="D15" s="3"/>
    </row>
    <row r="16" ht="39.75" customHeight="1">
      <c r="A16" s="30" t="s">
        <v>212</v>
      </c>
      <c r="B16" s="12" t="s">
        <v>213</v>
      </c>
      <c r="C16" s="2"/>
      <c r="D16" s="3"/>
    </row>
    <row r="17" ht="39.75" customHeight="1">
      <c r="A17" s="30" t="s">
        <v>214</v>
      </c>
      <c r="B17" s="12" t="s">
        <v>215</v>
      </c>
      <c r="C17" s="2"/>
      <c r="D17" s="3"/>
    </row>
    <row r="18" ht="39.75" customHeight="1">
      <c r="A18" s="30" t="s">
        <v>216</v>
      </c>
      <c r="B18" s="12" t="s">
        <v>217</v>
      </c>
      <c r="C18" s="2"/>
      <c r="D18" s="3"/>
    </row>
    <row r="19" ht="39.75" customHeight="1">
      <c r="A19" s="30" t="s">
        <v>218</v>
      </c>
      <c r="B19" s="12" t="s">
        <v>219</v>
      </c>
      <c r="C19" s="2"/>
      <c r="D19" s="3"/>
    </row>
    <row r="20" ht="39.75" customHeight="1">
      <c r="A20" s="30" t="s">
        <v>220</v>
      </c>
      <c r="B20" s="12" t="s">
        <v>221</v>
      </c>
      <c r="C20" s="2"/>
      <c r="D20" s="3"/>
    </row>
    <row r="21" ht="39.75" customHeight="1">
      <c r="A21" s="30" t="s">
        <v>222</v>
      </c>
      <c r="B21" s="12" t="s">
        <v>223</v>
      </c>
      <c r="C21" s="2"/>
      <c r="D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7:D17"/>
    <mergeCell ref="B18:D18"/>
    <mergeCell ref="B19:D19"/>
    <mergeCell ref="B20:D20"/>
    <mergeCell ref="B21:D21"/>
    <mergeCell ref="A1:D1"/>
    <mergeCell ref="A3:D3"/>
    <mergeCell ref="A12:D12"/>
    <mergeCell ref="B13:D13"/>
    <mergeCell ref="B14:D14"/>
    <mergeCell ref="B15:D15"/>
    <mergeCell ref="B16:D16"/>
  </mergeCells>
  <printOptions/>
  <pageMargins bottom="1.0" footer="0.0" header="0.0" left="0.75" right="0.75" top="1.0"/>
  <pageSetup paperSize="9" orientation="portrait"/>
  <drawing r:id="rId1"/>
</worksheet>
</file>